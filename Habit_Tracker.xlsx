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6">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7">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8">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9">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10">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11">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12">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13">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14">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15">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 authorId="0" ref="AH16">
      <text>
        <t xml:space="preserve">Hey everyone, I know in the video I showed these "Goal" column fields as blanks, but keeping "31" as a default number will help the progress bar / SPARKLINE display better when you haven't populated anything yet. You can feel free to of course change this number to your set goal. If you leave it as "0" or blank as a default, you may get temporary errors until you fill this number in. Thanks!
Feel free to remove this note on your own local copy.</t>
      </text>
    </comment>
  </commentList>
</comments>
</file>

<file path=xl/sharedStrings.xml><?xml version="1.0" encoding="utf-8"?>
<sst xmlns="http://schemas.openxmlformats.org/spreadsheetml/2006/main" count="62" uniqueCount="25">
  <si>
    <t>(JUNE) 2026 Habit Tracker</t>
  </si>
  <si>
    <t>Habits</t>
  </si>
  <si>
    <t>Week 1</t>
  </si>
  <si>
    <t>Week 2</t>
  </si>
  <si>
    <t>Week 3</t>
  </si>
  <si>
    <t>Week 4</t>
  </si>
  <si>
    <t>Week 5</t>
  </si>
  <si>
    <t>Goal</t>
  </si>
  <si>
    <t>Progress</t>
  </si>
  <si>
    <t>Dates</t>
  </si>
  <si>
    <t>Days</t>
  </si>
  <si>
    <t>M</t>
  </si>
  <si>
    <t>T</t>
  </si>
  <si>
    <t>W</t>
  </si>
  <si>
    <t>TH</t>
  </si>
  <si>
    <t>F</t>
  </si>
  <si>
    <t>SA</t>
  </si>
  <si>
    <t>S</t>
  </si>
  <si>
    <t>HABITS</t>
  </si>
  <si>
    <t>Total</t>
  </si>
  <si>
    <t>Habits Completed</t>
  </si>
  <si>
    <t>Habits Incomplete</t>
  </si>
  <si>
    <t>Weekly Habits Completed</t>
  </si>
  <si>
    <t>Weekly Habits Incomplete</t>
  </si>
  <si>
    <t>Percentage % per Week</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</si>
</sst>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20.0"/>
      <color rgb="FFFFFFFF"/>
      <name val="Arial"/>
    </font>
    <font>
      <color theme="1"/>
      <name val="Arial"/>
    </font>
    <font>
      <b/>
      <sz val="14.0"/>
      <color theme="1"/>
      <name val="Arial"/>
    </font>
    <font>
      <b/>
      <sz val="14.0"/>
      <color rgb="FFFFFFFF"/>
      <name val="Arial"/>
    </font>
    <font>
      <b/>
      <sz val="12.0"/>
      <color theme="1"/>
      <name val="Arial"/>
    </font>
    <font>
      <sz val="12.0"/>
      <color theme="1"/>
      <name val="Arial"/>
    </font>
    <font>
      <color theme="1"/>
      <name val="Arial"/>
      <scheme val="minor"/>
    </font>
    <font>
      <b/>
      <sz val="12.0"/>
      <color theme="1"/>
      <name val="Arial"/>
      <scheme val="minor"/>
    </font>
  </fonts>
  <fills count="13">
    <fill>
      <patternFill patternType="none"/>
    </fill>
    <fill>
      <patternFill patternType="lightGray"/>
    </fill>
    <fill>
      <patternFill patternType="solid">
        <fgColor rgb="FF0B5394"/>
        <bgColor rgb="FF0B5394"/>
      </patternFill>
    </fill>
    <fill>
      <patternFill patternType="solid">
        <fgColor rgb="FFE69138"/>
        <bgColor rgb="FFE69138"/>
      </patternFill>
    </fill>
    <fill>
      <patternFill patternType="solid">
        <fgColor rgb="FF3D85C6"/>
        <bgColor rgb="FF3D85C6"/>
      </patternFill>
    </fill>
    <fill>
      <patternFill patternType="solid">
        <fgColor rgb="FFCC0000"/>
        <bgColor rgb="FFCC0000"/>
      </patternFill>
    </fill>
    <fill>
      <patternFill patternType="solid">
        <fgColor rgb="FF6AA84F"/>
        <bgColor rgb="FF6AA84F"/>
      </patternFill>
    </fill>
    <fill>
      <patternFill patternType="solid">
        <fgColor rgb="FFA64D79"/>
        <bgColor rgb="FFA64D79"/>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EAD1DC"/>
        <bgColor rgb="FFEAD1DC"/>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2" numFmtId="0" xfId="0" applyAlignment="1" applyFont="1">
      <alignment horizontal="center"/>
    </xf>
    <xf borderId="0" fillId="0" fontId="3" numFmtId="0" xfId="0" applyAlignment="1" applyFont="1">
      <alignment horizontal="center" readingOrder="0"/>
    </xf>
    <xf borderId="0" fillId="3" fontId="4" numFmtId="0" xfId="0" applyAlignment="1" applyFill="1" applyFont="1">
      <alignment horizontal="center" readingOrder="0"/>
    </xf>
    <xf borderId="0" fillId="4" fontId="4" numFmtId="0" xfId="0" applyAlignment="1" applyFill="1" applyFont="1">
      <alignment horizontal="center" readingOrder="0"/>
    </xf>
    <xf borderId="0" fillId="5" fontId="4" numFmtId="0" xfId="0" applyAlignment="1" applyFill="1" applyFont="1">
      <alignment horizontal="center" readingOrder="0"/>
    </xf>
    <xf borderId="0" fillId="6" fontId="4" numFmtId="0" xfId="0" applyAlignment="1" applyFill="1" applyFont="1">
      <alignment horizontal="center" readingOrder="0"/>
    </xf>
    <xf borderId="0" fillId="7" fontId="4" numFmtId="0" xfId="0" applyAlignment="1" applyFill="1" applyFont="1">
      <alignment horizontal="center" readingOrder="0"/>
    </xf>
    <xf borderId="0" fillId="0" fontId="3" numFmtId="0" xfId="0" applyAlignment="1" applyFont="1">
      <alignment readingOrder="0"/>
    </xf>
    <xf borderId="0" fillId="0" fontId="5" numFmtId="0" xfId="0" applyAlignment="1" applyFont="1">
      <alignment horizontal="center" readingOrder="0"/>
    </xf>
    <xf borderId="0" fillId="8" fontId="5" numFmtId="0" xfId="0" applyAlignment="1" applyFill="1" applyFont="1">
      <alignment horizontal="center" readingOrder="0"/>
    </xf>
    <xf borderId="0" fillId="9" fontId="5" numFmtId="0" xfId="0" applyAlignment="1" applyFill="1" applyFont="1">
      <alignment horizontal="center" readingOrder="0"/>
    </xf>
    <xf borderId="0" fillId="10" fontId="5" numFmtId="0" xfId="0" applyAlignment="1" applyFill="1" applyFont="1">
      <alignment horizontal="center" readingOrder="0"/>
    </xf>
    <xf borderId="0" fillId="11" fontId="5" numFmtId="0" xfId="0" applyAlignment="1" applyFill="1" applyFont="1">
      <alignment horizontal="center" readingOrder="0"/>
    </xf>
    <xf borderId="0" fillId="12" fontId="5" numFmtId="0" xfId="0" applyAlignment="1" applyFill="1" applyFont="1">
      <alignment horizontal="center" readingOrder="0"/>
    </xf>
    <xf borderId="0" fillId="0" fontId="5" numFmtId="0" xfId="0" applyAlignment="1" applyFont="1">
      <alignment readingOrder="0"/>
    </xf>
    <xf borderId="0" fillId="8" fontId="6" numFmtId="0" xfId="0" applyAlignment="1" applyFont="1">
      <alignment horizontal="center" readingOrder="0"/>
    </xf>
    <xf borderId="0" fillId="0" fontId="6" numFmtId="0" xfId="0" applyFont="1"/>
    <xf borderId="0" fillId="0" fontId="6" numFmtId="0" xfId="0" applyAlignment="1" applyFont="1">
      <alignment readingOrder="0"/>
    </xf>
    <xf borderId="0" fillId="9" fontId="6" numFmtId="0" xfId="0" applyAlignment="1" applyFont="1">
      <alignment horizontal="center" readingOrder="0"/>
    </xf>
    <xf borderId="0" fillId="9" fontId="6" numFmtId="0" xfId="0" applyAlignment="1" applyFont="1">
      <alignment horizontal="center"/>
    </xf>
    <xf borderId="0" fillId="10" fontId="6" numFmtId="0" xfId="0" applyAlignment="1" applyFont="1">
      <alignment horizontal="center"/>
    </xf>
    <xf borderId="0" fillId="10" fontId="6" numFmtId="0" xfId="0" applyAlignment="1" applyFont="1">
      <alignment horizontal="center" readingOrder="0"/>
    </xf>
    <xf borderId="0" fillId="11" fontId="6" numFmtId="0" xfId="0" applyAlignment="1" applyFont="1">
      <alignment horizontal="center"/>
    </xf>
    <xf borderId="0" fillId="11" fontId="6" numFmtId="0" xfId="0" applyAlignment="1" applyFont="1">
      <alignment horizontal="center" readingOrder="0"/>
    </xf>
    <xf borderId="0" fillId="12" fontId="6" numFmtId="0" xfId="0" applyAlignment="1" applyFont="1">
      <alignment horizontal="center" readingOrder="0"/>
    </xf>
    <xf borderId="0" fillId="8" fontId="6" numFmtId="0" xfId="0" applyAlignment="1" applyFont="1">
      <alignment readingOrder="0"/>
    </xf>
    <xf borderId="0" fillId="8" fontId="6" numFmtId="0" xfId="0" applyAlignment="1" applyFont="1">
      <alignment horizontal="center"/>
    </xf>
    <xf borderId="0" fillId="12" fontId="6"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8" numFmtId="0" xfId="0" applyAlignment="1" applyFont="1">
      <alignment horizontal="center" readingOrder="0" vertical="center"/>
    </xf>
    <xf borderId="0" fillId="0" fontId="8" numFmtId="10" xfId="0" applyAlignment="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32" width="3.88"/>
    <col customWidth="1" min="33" max="33" width="2.75"/>
    <col customWidth="1" min="34" max="34" width="9.0"/>
    <col customWidth="1" min="35" max="35" width="30.88"/>
    <col customWidth="1" min="36" max="36" width="3.88"/>
  </cols>
  <sheetData>
    <row r="1">
      <c r="A1" s="1" t="s">
        <v>0</v>
      </c>
    </row>
    <row r="2" ht="9.75" customHeight="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2"/>
      <c r="AH2" s="2"/>
      <c r="AI2" s="2"/>
      <c r="AJ2" s="2"/>
    </row>
    <row r="3">
      <c r="A3" s="4" t="s">
        <v>1</v>
      </c>
      <c r="B3" s="5" t="s">
        <v>2</v>
      </c>
      <c r="I3" s="6" t="s">
        <v>3</v>
      </c>
      <c r="P3" s="7" t="s">
        <v>4</v>
      </c>
      <c r="W3" s="8" t="s">
        <v>5</v>
      </c>
      <c r="AD3" s="9" t="s">
        <v>6</v>
      </c>
      <c r="AG3" s="10"/>
      <c r="AH3" s="4" t="s">
        <v>7</v>
      </c>
      <c r="AI3" s="4" t="s">
        <v>8</v>
      </c>
      <c r="AJ3" s="2"/>
    </row>
    <row r="4">
      <c r="A4" s="11" t="s">
        <v>9</v>
      </c>
      <c r="B4" s="12">
        <v>1.0</v>
      </c>
      <c r="C4" s="12">
        <v>2.0</v>
      </c>
      <c r="D4" s="12">
        <v>3.0</v>
      </c>
      <c r="E4" s="12">
        <v>4.0</v>
      </c>
      <c r="F4" s="12">
        <v>5.0</v>
      </c>
      <c r="G4" s="12">
        <v>6.0</v>
      </c>
      <c r="H4" s="12">
        <v>7.0</v>
      </c>
      <c r="I4" s="13">
        <v>8.0</v>
      </c>
      <c r="J4" s="13">
        <v>9.0</v>
      </c>
      <c r="K4" s="13">
        <v>10.0</v>
      </c>
      <c r="L4" s="13">
        <v>11.0</v>
      </c>
      <c r="M4" s="13">
        <v>12.0</v>
      </c>
      <c r="N4" s="13">
        <v>13.0</v>
      </c>
      <c r="O4" s="13">
        <v>14.0</v>
      </c>
      <c r="P4" s="14">
        <v>15.0</v>
      </c>
      <c r="Q4" s="14">
        <v>16.0</v>
      </c>
      <c r="R4" s="14">
        <v>17.0</v>
      </c>
      <c r="S4" s="14">
        <v>18.0</v>
      </c>
      <c r="T4" s="14">
        <v>19.0</v>
      </c>
      <c r="U4" s="14">
        <v>20.0</v>
      </c>
      <c r="V4" s="14">
        <v>21.0</v>
      </c>
      <c r="W4" s="15">
        <v>22.0</v>
      </c>
      <c r="X4" s="15">
        <v>23.0</v>
      </c>
      <c r="Y4" s="15">
        <v>24.0</v>
      </c>
      <c r="Z4" s="15">
        <v>25.0</v>
      </c>
      <c r="AA4" s="15">
        <v>26.0</v>
      </c>
      <c r="AB4" s="15">
        <v>27.0</v>
      </c>
      <c r="AC4" s="15">
        <v>28.0</v>
      </c>
      <c r="AD4" s="16">
        <v>29.0</v>
      </c>
      <c r="AE4" s="16">
        <v>30.0</v>
      </c>
      <c r="AF4" s="16">
        <v>31.0</v>
      </c>
      <c r="AG4" s="17"/>
      <c r="AH4" s="17"/>
      <c r="AI4" s="17"/>
      <c r="AJ4" s="17"/>
    </row>
    <row r="5">
      <c r="A5" s="11" t="s">
        <v>10</v>
      </c>
      <c r="B5" s="18" t="s">
        <v>11</v>
      </c>
      <c r="C5" s="18" t="s">
        <v>12</v>
      </c>
      <c r="D5" s="18" t="s">
        <v>13</v>
      </c>
      <c r="E5" s="18" t="s">
        <v>14</v>
      </c>
      <c r="F5" s="18" t="s">
        <v>15</v>
      </c>
      <c r="G5" s="18" t="s">
        <v>16</v>
      </c>
      <c r="H5" s="18" t="s">
        <v>17</v>
      </c>
      <c r="I5" s="18" t="s">
        <v>11</v>
      </c>
      <c r="J5" s="18" t="s">
        <v>12</v>
      </c>
      <c r="K5" s="18" t="s">
        <v>13</v>
      </c>
      <c r="L5" s="18" t="s">
        <v>14</v>
      </c>
      <c r="M5" s="18" t="s">
        <v>15</v>
      </c>
      <c r="N5" s="18" t="s">
        <v>16</v>
      </c>
      <c r="O5" s="18" t="s">
        <v>17</v>
      </c>
      <c r="P5" s="18" t="s">
        <v>11</v>
      </c>
      <c r="Q5" s="18" t="s">
        <v>12</v>
      </c>
      <c r="R5" s="18" t="s">
        <v>13</v>
      </c>
      <c r="S5" s="18" t="s">
        <v>14</v>
      </c>
      <c r="T5" s="18" t="s">
        <v>15</v>
      </c>
      <c r="U5" s="18" t="s">
        <v>16</v>
      </c>
      <c r="V5" s="18" t="s">
        <v>17</v>
      </c>
      <c r="W5" s="18" t="s">
        <v>11</v>
      </c>
      <c r="X5" s="18" t="s">
        <v>12</v>
      </c>
      <c r="Y5" s="18" t="s">
        <v>13</v>
      </c>
      <c r="Z5" s="18" t="s">
        <v>14</v>
      </c>
      <c r="AA5" s="18" t="s">
        <v>15</v>
      </c>
      <c r="AB5" s="18" t="s">
        <v>16</v>
      </c>
      <c r="AC5" s="18" t="s">
        <v>17</v>
      </c>
      <c r="AD5" s="18" t="s">
        <v>11</v>
      </c>
      <c r="AE5" s="18" t="s">
        <v>12</v>
      </c>
      <c r="AF5" s="18" t="s">
        <v>13</v>
      </c>
      <c r="AG5" s="19"/>
      <c r="AH5" s="19"/>
      <c r="AI5" s="20"/>
      <c r="AJ5" s="19"/>
    </row>
    <row r="6">
      <c r="A6" s="20" t="s">
        <v>18</v>
      </c>
      <c r="B6" s="18" t="b">
        <v>0</v>
      </c>
      <c r="C6" s="18" t="b">
        <v>0</v>
      </c>
      <c r="D6" s="18" t="b">
        <v>0</v>
      </c>
      <c r="E6" s="18" t="b">
        <v>0</v>
      </c>
      <c r="F6" s="18" t="b">
        <v>0</v>
      </c>
      <c r="G6" s="18" t="b">
        <v>0</v>
      </c>
      <c r="H6" s="18" t="b">
        <v>0</v>
      </c>
      <c r="I6" s="21" t="b">
        <v>0</v>
      </c>
      <c r="J6" s="21" t="b">
        <v>0</v>
      </c>
      <c r="K6" s="21" t="b">
        <v>0</v>
      </c>
      <c r="L6" s="22" t="b">
        <v>0</v>
      </c>
      <c r="M6" s="21" t="b">
        <v>0</v>
      </c>
      <c r="N6" s="22" t="b">
        <v>0</v>
      </c>
      <c r="O6" s="22" t="b">
        <v>0</v>
      </c>
      <c r="P6" s="23" t="b">
        <v>0</v>
      </c>
      <c r="Q6" s="23" t="b">
        <v>0</v>
      </c>
      <c r="R6" s="24" t="b">
        <v>0</v>
      </c>
      <c r="S6" s="23" t="b">
        <v>0</v>
      </c>
      <c r="T6" s="23" t="b">
        <v>0</v>
      </c>
      <c r="U6" s="24" t="b">
        <v>0</v>
      </c>
      <c r="V6" s="24" t="b">
        <v>0</v>
      </c>
      <c r="W6" s="25" t="b">
        <v>0</v>
      </c>
      <c r="X6" s="25" t="b">
        <v>0</v>
      </c>
      <c r="Y6" s="26" t="b">
        <v>0</v>
      </c>
      <c r="Z6" s="26" t="b">
        <v>0</v>
      </c>
      <c r="AA6" s="26" t="b">
        <v>0</v>
      </c>
      <c r="AB6" s="26" t="b">
        <v>0</v>
      </c>
      <c r="AC6" s="26" t="b">
        <v>0</v>
      </c>
      <c r="AD6" s="27" t="b">
        <v>0</v>
      </c>
      <c r="AE6" s="27" t="b">
        <v>0</v>
      </c>
      <c r="AF6" s="27" t="b">
        <v>0</v>
      </c>
      <c r="AG6" s="20"/>
      <c r="AH6" s="28">
        <v>31.0</v>
      </c>
      <c r="AI6" s="19" t="str">
        <f>IFERROR(__xludf.DUMMYFUNCTION("SPARKLINE(COUNTIF(B6:AF6,TRUE),{""charttype"",""bar"";""max"",AH16;""color1"",""purple""})"),"")</f>
        <v/>
      </c>
      <c r="AJ6" s="19"/>
    </row>
    <row r="7">
      <c r="A7" s="20" t="s">
        <v>18</v>
      </c>
      <c r="B7" s="18" t="b">
        <v>0</v>
      </c>
      <c r="C7" s="18" t="b">
        <v>0</v>
      </c>
      <c r="D7" s="18" t="b">
        <v>0</v>
      </c>
      <c r="E7" s="18" t="b">
        <v>0</v>
      </c>
      <c r="F7" s="18" t="b">
        <v>0</v>
      </c>
      <c r="G7" s="18" t="b">
        <v>0</v>
      </c>
      <c r="H7" s="18" t="b">
        <v>0</v>
      </c>
      <c r="I7" s="21" t="b">
        <v>0</v>
      </c>
      <c r="J7" s="21" t="b">
        <v>0</v>
      </c>
      <c r="K7" s="21" t="b">
        <v>0</v>
      </c>
      <c r="L7" s="22" t="b">
        <v>0</v>
      </c>
      <c r="M7" s="22" t="b">
        <v>0</v>
      </c>
      <c r="N7" s="22" t="b">
        <v>0</v>
      </c>
      <c r="O7" s="22" t="b">
        <v>0</v>
      </c>
      <c r="P7" s="23" t="b">
        <v>0</v>
      </c>
      <c r="Q7" s="24" t="b">
        <v>0</v>
      </c>
      <c r="R7" s="24" t="b">
        <v>0</v>
      </c>
      <c r="S7" s="23" t="b">
        <v>0</v>
      </c>
      <c r="T7" s="23" t="b">
        <v>0</v>
      </c>
      <c r="U7" s="24" t="b">
        <v>0</v>
      </c>
      <c r="V7" s="24" t="b">
        <v>0</v>
      </c>
      <c r="W7" s="25" t="b">
        <v>0</v>
      </c>
      <c r="X7" s="25" t="b">
        <v>0</v>
      </c>
      <c r="Y7" s="26" t="b">
        <v>0</v>
      </c>
      <c r="Z7" s="26" t="b">
        <v>0</v>
      </c>
      <c r="AA7" s="26" t="b">
        <v>0</v>
      </c>
      <c r="AB7" s="26" t="b">
        <v>0</v>
      </c>
      <c r="AC7" s="26" t="b">
        <v>0</v>
      </c>
      <c r="AD7" s="27" t="b">
        <v>0</v>
      </c>
      <c r="AE7" s="27" t="b">
        <v>0</v>
      </c>
      <c r="AF7" s="27" t="b">
        <v>0</v>
      </c>
      <c r="AG7" s="20"/>
      <c r="AH7" s="28">
        <v>31.0</v>
      </c>
      <c r="AI7" s="19" t="str">
        <f>IFERROR(__xludf.DUMMYFUNCTION("SPARKLINE(COUNTIF(B7:AF7,TRUE),{""charttype"",""bar"";""max"",AH17;""color1"",""purple""})"),"")</f>
        <v/>
      </c>
      <c r="AJ7" s="19"/>
    </row>
    <row r="8">
      <c r="A8" s="20" t="s">
        <v>18</v>
      </c>
      <c r="B8" s="18" t="b">
        <v>0</v>
      </c>
      <c r="C8" s="18" t="b">
        <v>0</v>
      </c>
      <c r="D8" s="18" t="b">
        <v>0</v>
      </c>
      <c r="E8" s="18" t="b">
        <v>0</v>
      </c>
      <c r="F8" s="18" t="b">
        <v>0</v>
      </c>
      <c r="G8" s="18" t="b">
        <v>0</v>
      </c>
      <c r="H8" s="29" t="b">
        <v>0</v>
      </c>
      <c r="I8" s="21" t="b">
        <v>0</v>
      </c>
      <c r="J8" s="21" t="b">
        <v>0</v>
      </c>
      <c r="K8" s="21" t="b">
        <v>0</v>
      </c>
      <c r="L8" s="22" t="b">
        <v>0</v>
      </c>
      <c r="M8" s="22" t="b">
        <v>0</v>
      </c>
      <c r="N8" s="22" t="b">
        <v>0</v>
      </c>
      <c r="O8" s="22" t="b">
        <v>0</v>
      </c>
      <c r="P8" s="23" t="b">
        <v>0</v>
      </c>
      <c r="Q8" s="23" t="b">
        <v>0</v>
      </c>
      <c r="R8" s="24" t="b">
        <v>0</v>
      </c>
      <c r="S8" s="23" t="b">
        <v>0</v>
      </c>
      <c r="T8" s="23" t="b">
        <v>0</v>
      </c>
      <c r="U8" s="24" t="b">
        <v>0</v>
      </c>
      <c r="V8" s="24" t="b">
        <v>0</v>
      </c>
      <c r="W8" s="25" t="b">
        <v>0</v>
      </c>
      <c r="X8" s="25" t="b">
        <v>0</v>
      </c>
      <c r="Y8" s="26" t="b">
        <v>0</v>
      </c>
      <c r="Z8" s="26" t="b">
        <v>0</v>
      </c>
      <c r="AA8" s="26" t="b">
        <v>0</v>
      </c>
      <c r="AB8" s="26" t="b">
        <v>0</v>
      </c>
      <c r="AC8" s="26" t="b">
        <v>0</v>
      </c>
      <c r="AD8" s="27" t="b">
        <v>0</v>
      </c>
      <c r="AE8" s="27" t="b">
        <v>0</v>
      </c>
      <c r="AF8" s="27" t="b">
        <v>0</v>
      </c>
      <c r="AG8" s="20"/>
      <c r="AH8" s="28">
        <v>31.0</v>
      </c>
      <c r="AI8" s="19" t="str">
        <f>IFERROR(__xludf.DUMMYFUNCTION("SPARKLINE(COUNTIF(B8:AF8,TRUE),{""charttype"",""bar"";""max"",AH18;""color1"",""purple""})"),"")</f>
        <v/>
      </c>
      <c r="AJ8" s="19"/>
    </row>
    <row r="9">
      <c r="A9" s="20" t="s">
        <v>18</v>
      </c>
      <c r="B9" s="18" t="b">
        <v>0</v>
      </c>
      <c r="C9" s="18" t="b">
        <v>0</v>
      </c>
      <c r="D9" s="18" t="b">
        <v>0</v>
      </c>
      <c r="E9" s="18" t="b">
        <v>0</v>
      </c>
      <c r="F9" s="18" t="b">
        <v>0</v>
      </c>
      <c r="G9" s="18" t="b">
        <v>0</v>
      </c>
      <c r="H9" s="29" t="b">
        <v>0</v>
      </c>
      <c r="I9" s="21" t="b">
        <v>0</v>
      </c>
      <c r="J9" s="21" t="b">
        <v>0</v>
      </c>
      <c r="K9" s="21" t="b">
        <v>0</v>
      </c>
      <c r="L9" s="22" t="b">
        <v>0</v>
      </c>
      <c r="M9" s="22" t="b">
        <v>0</v>
      </c>
      <c r="N9" s="22" t="b">
        <v>0</v>
      </c>
      <c r="O9" s="22" t="b">
        <v>0</v>
      </c>
      <c r="P9" s="23" t="b">
        <v>0</v>
      </c>
      <c r="Q9" s="23" t="b">
        <v>0</v>
      </c>
      <c r="R9" s="24" t="b">
        <v>0</v>
      </c>
      <c r="S9" s="24" t="b">
        <v>0</v>
      </c>
      <c r="T9" s="23" t="b">
        <v>0</v>
      </c>
      <c r="U9" s="24" t="b">
        <v>0</v>
      </c>
      <c r="V9" s="24" t="b">
        <v>0</v>
      </c>
      <c r="W9" s="25" t="b">
        <v>0</v>
      </c>
      <c r="X9" s="25" t="b">
        <v>0</v>
      </c>
      <c r="Y9" s="26" t="b">
        <v>0</v>
      </c>
      <c r="Z9" s="26" t="b">
        <v>0</v>
      </c>
      <c r="AA9" s="26" t="b">
        <v>0</v>
      </c>
      <c r="AB9" s="26" t="b">
        <v>0</v>
      </c>
      <c r="AC9" s="26" t="b">
        <v>0</v>
      </c>
      <c r="AD9" s="27" t="b">
        <v>0</v>
      </c>
      <c r="AE9" s="27" t="b">
        <v>0</v>
      </c>
      <c r="AF9" s="27" t="b">
        <v>0</v>
      </c>
      <c r="AG9" s="20"/>
      <c r="AH9" s="28">
        <v>31.0</v>
      </c>
      <c r="AI9" s="19" t="str">
        <f>IFERROR(__xludf.DUMMYFUNCTION("SPARKLINE(COUNTIF(B9:AF9,TRUE),{""charttype"",""bar"";""max"",AH17;""color1"",""purple""})"),"")</f>
        <v/>
      </c>
      <c r="AJ9" s="19"/>
    </row>
    <row r="10">
      <c r="A10" s="20" t="s">
        <v>18</v>
      </c>
      <c r="B10" s="18" t="b">
        <v>0</v>
      </c>
      <c r="C10" s="18" t="b">
        <v>0</v>
      </c>
      <c r="D10" s="18" t="b">
        <v>0</v>
      </c>
      <c r="E10" s="18" t="b">
        <v>0</v>
      </c>
      <c r="F10" s="18" t="b">
        <v>0</v>
      </c>
      <c r="G10" s="18" t="b">
        <v>0</v>
      </c>
      <c r="H10" s="29" t="b">
        <v>0</v>
      </c>
      <c r="I10" s="21" t="b">
        <v>0</v>
      </c>
      <c r="J10" s="21" t="b">
        <v>0</v>
      </c>
      <c r="K10" s="21" t="b">
        <v>0</v>
      </c>
      <c r="L10" s="22" t="b">
        <v>0</v>
      </c>
      <c r="M10" s="22" t="b">
        <v>0</v>
      </c>
      <c r="N10" s="22" t="b">
        <v>0</v>
      </c>
      <c r="O10" s="22" t="b">
        <v>0</v>
      </c>
      <c r="P10" s="23" t="b">
        <v>0</v>
      </c>
      <c r="Q10" s="23" t="b">
        <v>0</v>
      </c>
      <c r="R10" s="24" t="b">
        <v>0</v>
      </c>
      <c r="S10" s="23" t="b">
        <v>0</v>
      </c>
      <c r="T10" s="23" t="b">
        <v>0</v>
      </c>
      <c r="U10" s="24" t="b">
        <v>0</v>
      </c>
      <c r="V10" s="24" t="b">
        <v>0</v>
      </c>
      <c r="W10" s="25" t="b">
        <v>0</v>
      </c>
      <c r="X10" s="25" t="b">
        <v>0</v>
      </c>
      <c r="Y10" s="26" t="b">
        <v>0</v>
      </c>
      <c r="Z10" s="26" t="b">
        <v>0</v>
      </c>
      <c r="AA10" s="26" t="b">
        <v>0</v>
      </c>
      <c r="AB10" s="26" t="b">
        <v>0</v>
      </c>
      <c r="AC10" s="26" t="b">
        <v>0</v>
      </c>
      <c r="AD10" s="27" t="b">
        <v>0</v>
      </c>
      <c r="AE10" s="27" t="b">
        <v>0</v>
      </c>
      <c r="AF10" s="27" t="b">
        <v>0</v>
      </c>
      <c r="AG10" s="20"/>
      <c r="AH10" s="28">
        <v>31.0</v>
      </c>
      <c r="AI10" s="19" t="str">
        <f>IFERROR(__xludf.DUMMYFUNCTION("SPARKLINE(COUNTIF(B10:AF10,TRUE),{""charttype"",""bar"";""max"",AH17;""color1"",""purple""})"),"")</f>
        <v/>
      </c>
      <c r="AJ10" s="19"/>
    </row>
    <row r="11">
      <c r="A11" s="20" t="s">
        <v>18</v>
      </c>
      <c r="B11" s="18" t="b">
        <v>0</v>
      </c>
      <c r="C11" s="18" t="b">
        <v>0</v>
      </c>
      <c r="D11" s="18" t="b">
        <v>0</v>
      </c>
      <c r="E11" s="18" t="b">
        <v>0</v>
      </c>
      <c r="F11" s="18" t="b">
        <v>0</v>
      </c>
      <c r="G11" s="18" t="b">
        <v>0</v>
      </c>
      <c r="H11" s="29" t="b">
        <v>0</v>
      </c>
      <c r="I11" s="21" t="b">
        <v>0</v>
      </c>
      <c r="J11" s="21" t="b">
        <v>0</v>
      </c>
      <c r="K11" s="21" t="b">
        <v>0</v>
      </c>
      <c r="L11" s="22" t="b">
        <v>0</v>
      </c>
      <c r="M11" s="22" t="b">
        <v>0</v>
      </c>
      <c r="N11" s="22" t="b">
        <v>0</v>
      </c>
      <c r="O11" s="22" t="b">
        <v>0</v>
      </c>
      <c r="P11" s="23" t="b">
        <v>0</v>
      </c>
      <c r="Q11" s="23" t="b">
        <v>0</v>
      </c>
      <c r="R11" s="24" t="b">
        <v>0</v>
      </c>
      <c r="S11" s="23" t="b">
        <v>0</v>
      </c>
      <c r="T11" s="23" t="b">
        <v>0</v>
      </c>
      <c r="U11" s="24" t="b">
        <v>0</v>
      </c>
      <c r="V11" s="24" t="b">
        <v>0</v>
      </c>
      <c r="W11" s="25" t="b">
        <v>0</v>
      </c>
      <c r="X11" s="25" t="b">
        <v>0</v>
      </c>
      <c r="Y11" s="26" t="b">
        <v>0</v>
      </c>
      <c r="Z11" s="26" t="b">
        <v>0</v>
      </c>
      <c r="AA11" s="26" t="b">
        <v>0</v>
      </c>
      <c r="AB11" s="26" t="b">
        <v>0</v>
      </c>
      <c r="AC11" s="26" t="b">
        <v>0</v>
      </c>
      <c r="AD11" s="27" t="b">
        <v>0</v>
      </c>
      <c r="AE11" s="27" t="b">
        <v>0</v>
      </c>
      <c r="AF11" s="27" t="b">
        <v>0</v>
      </c>
      <c r="AG11" s="20"/>
      <c r="AH11" s="28">
        <v>31.0</v>
      </c>
      <c r="AI11" s="19" t="str">
        <f>IFERROR(__xludf.DUMMYFUNCTION("SPARKLINE(COUNTIF(B11:AF11,TRUE),{""charttype"",""bar"";""max"",AH18;""color1"",""purple""})"),"")</f>
        <v/>
      </c>
      <c r="AJ11" s="19"/>
    </row>
    <row r="12">
      <c r="A12" s="20" t="s">
        <v>18</v>
      </c>
      <c r="B12" s="18" t="b">
        <v>0</v>
      </c>
      <c r="C12" s="18" t="b">
        <v>0</v>
      </c>
      <c r="D12" s="18" t="b">
        <v>0</v>
      </c>
      <c r="E12" s="18" t="b">
        <v>0</v>
      </c>
      <c r="F12" s="18" t="b">
        <v>0</v>
      </c>
      <c r="G12" s="18" t="b">
        <v>0</v>
      </c>
      <c r="H12" s="29" t="b">
        <v>0</v>
      </c>
      <c r="I12" s="21" t="b">
        <v>0</v>
      </c>
      <c r="J12" s="21" t="b">
        <v>0</v>
      </c>
      <c r="K12" s="21" t="b">
        <v>0</v>
      </c>
      <c r="L12" s="22" t="b">
        <v>0</v>
      </c>
      <c r="M12" s="22" t="b">
        <v>0</v>
      </c>
      <c r="N12" s="22" t="b">
        <v>0</v>
      </c>
      <c r="O12" s="22" t="b">
        <v>0</v>
      </c>
      <c r="P12" s="23" t="b">
        <v>0</v>
      </c>
      <c r="Q12" s="23" t="b">
        <v>0</v>
      </c>
      <c r="R12" s="24" t="b">
        <v>0</v>
      </c>
      <c r="S12" s="23" t="b">
        <v>0</v>
      </c>
      <c r="T12" s="23" t="b">
        <v>0</v>
      </c>
      <c r="U12" s="24" t="b">
        <v>0</v>
      </c>
      <c r="V12" s="24" t="b">
        <v>0</v>
      </c>
      <c r="W12" s="25" t="b">
        <v>0</v>
      </c>
      <c r="X12" s="25" t="b">
        <v>0</v>
      </c>
      <c r="Y12" s="26" t="b">
        <v>0</v>
      </c>
      <c r="Z12" s="26" t="b">
        <v>0</v>
      </c>
      <c r="AA12" s="26" t="b">
        <v>0</v>
      </c>
      <c r="AB12" s="26" t="b">
        <v>0</v>
      </c>
      <c r="AC12" s="26" t="b">
        <v>0</v>
      </c>
      <c r="AD12" s="27" t="b">
        <v>0</v>
      </c>
      <c r="AE12" s="27" t="b">
        <v>0</v>
      </c>
      <c r="AF12" s="27" t="b">
        <v>0</v>
      </c>
      <c r="AG12" s="20"/>
      <c r="AH12" s="28">
        <v>31.0</v>
      </c>
      <c r="AI12" s="19" t="str">
        <f>IFERROR(__xludf.DUMMYFUNCTION("SPARKLINE(COUNTIF(B12:AF12,TRUE),{""charttype"",""bar"";""max"",AH17;""color1"",""purple""})"),"")</f>
        <v/>
      </c>
      <c r="AJ12" s="19"/>
    </row>
    <row r="13">
      <c r="A13" s="20" t="s">
        <v>18</v>
      </c>
      <c r="B13" s="18" t="b">
        <v>0</v>
      </c>
      <c r="C13" s="18" t="b">
        <v>0</v>
      </c>
      <c r="D13" s="18" t="b">
        <v>0</v>
      </c>
      <c r="E13" s="18" t="b">
        <v>0</v>
      </c>
      <c r="F13" s="18" t="b">
        <v>0</v>
      </c>
      <c r="G13" s="18" t="b">
        <v>0</v>
      </c>
      <c r="H13" s="29" t="b">
        <v>0</v>
      </c>
      <c r="I13" s="21" t="b">
        <v>0</v>
      </c>
      <c r="J13" s="21" t="b">
        <v>0</v>
      </c>
      <c r="K13" s="21" t="b">
        <v>0</v>
      </c>
      <c r="L13" s="22" t="b">
        <v>0</v>
      </c>
      <c r="M13" s="22" t="b">
        <v>0</v>
      </c>
      <c r="N13" s="22" t="b">
        <v>0</v>
      </c>
      <c r="O13" s="22" t="b">
        <v>0</v>
      </c>
      <c r="P13" s="23" t="b">
        <v>0</v>
      </c>
      <c r="Q13" s="23" t="b">
        <v>0</v>
      </c>
      <c r="R13" s="24" t="b">
        <v>0</v>
      </c>
      <c r="S13" s="23" t="b">
        <v>0</v>
      </c>
      <c r="T13" s="23" t="b">
        <v>0</v>
      </c>
      <c r="U13" s="24" t="b">
        <v>0</v>
      </c>
      <c r="V13" s="24" t="b">
        <v>0</v>
      </c>
      <c r="W13" s="25" t="b">
        <v>0</v>
      </c>
      <c r="X13" s="25" t="b">
        <v>0</v>
      </c>
      <c r="Y13" s="26" t="b">
        <v>0</v>
      </c>
      <c r="Z13" s="26" t="b">
        <v>0</v>
      </c>
      <c r="AA13" s="26" t="b">
        <v>0</v>
      </c>
      <c r="AB13" s="26" t="b">
        <v>0</v>
      </c>
      <c r="AC13" s="26" t="b">
        <v>0</v>
      </c>
      <c r="AD13" s="27" t="b">
        <v>0</v>
      </c>
      <c r="AE13" s="27" t="b">
        <v>0</v>
      </c>
      <c r="AF13" s="27" t="b">
        <v>0</v>
      </c>
      <c r="AG13" s="20"/>
      <c r="AH13" s="28">
        <v>31.0</v>
      </c>
      <c r="AI13" s="19" t="str">
        <f>IFERROR(__xludf.DUMMYFUNCTION("SPARKLINE(COUNTIF(B13:AF13,TRUE),{""charttype"",""bar"";""max"",AH17;""color1"",""purple""})"),"")</f>
        <v/>
      </c>
      <c r="AJ13" s="19"/>
    </row>
    <row r="14">
      <c r="A14" s="20" t="s">
        <v>18</v>
      </c>
      <c r="B14" s="18" t="b">
        <v>0</v>
      </c>
      <c r="C14" s="18" t="b">
        <v>0</v>
      </c>
      <c r="D14" s="18" t="b">
        <v>0</v>
      </c>
      <c r="E14" s="18" t="b">
        <v>0</v>
      </c>
      <c r="F14" s="18" t="b">
        <v>0</v>
      </c>
      <c r="G14" s="18" t="b">
        <v>0</v>
      </c>
      <c r="H14" s="29" t="b">
        <v>0</v>
      </c>
      <c r="I14" s="21" t="b">
        <v>0</v>
      </c>
      <c r="J14" s="21" t="b">
        <v>0</v>
      </c>
      <c r="K14" s="21" t="b">
        <v>0</v>
      </c>
      <c r="L14" s="22" t="b">
        <v>0</v>
      </c>
      <c r="M14" s="22" t="b">
        <v>0</v>
      </c>
      <c r="N14" s="22" t="b">
        <v>0</v>
      </c>
      <c r="O14" s="22" t="b">
        <v>0</v>
      </c>
      <c r="P14" s="23" t="b">
        <v>0</v>
      </c>
      <c r="Q14" s="23" t="b">
        <v>0</v>
      </c>
      <c r="R14" s="24" t="b">
        <v>0</v>
      </c>
      <c r="S14" s="23" t="b">
        <v>0</v>
      </c>
      <c r="T14" s="23" t="b">
        <v>0</v>
      </c>
      <c r="U14" s="24" t="b">
        <v>0</v>
      </c>
      <c r="V14" s="24" t="b">
        <v>0</v>
      </c>
      <c r="W14" s="25" t="b">
        <v>0</v>
      </c>
      <c r="X14" s="25" t="b">
        <v>0</v>
      </c>
      <c r="Y14" s="26" t="b">
        <v>0</v>
      </c>
      <c r="Z14" s="26" t="b">
        <v>0</v>
      </c>
      <c r="AA14" s="26" t="b">
        <v>0</v>
      </c>
      <c r="AB14" s="26" t="b">
        <v>0</v>
      </c>
      <c r="AC14" s="26" t="b">
        <v>0</v>
      </c>
      <c r="AD14" s="27" t="b">
        <v>0</v>
      </c>
      <c r="AE14" s="27" t="b">
        <v>0</v>
      </c>
      <c r="AF14" s="27" t="b">
        <v>0</v>
      </c>
      <c r="AG14" s="20"/>
      <c r="AH14" s="28">
        <v>31.0</v>
      </c>
      <c r="AI14" s="19" t="str">
        <f>IFERROR(__xludf.DUMMYFUNCTION("SPARKLINE(COUNTIF(B14:AF14,TRUE),{""charttype"",""bar"";""max"",AH17;""color1"",""purple""})"),"")</f>
        <v/>
      </c>
      <c r="AJ14" s="19"/>
    </row>
    <row r="15">
      <c r="A15" s="20" t="s">
        <v>18</v>
      </c>
      <c r="B15" s="18" t="b">
        <v>0</v>
      </c>
      <c r="C15" s="18" t="b">
        <v>0</v>
      </c>
      <c r="D15" s="18" t="b">
        <v>0</v>
      </c>
      <c r="E15" s="18" t="b">
        <v>0</v>
      </c>
      <c r="F15" s="18" t="b">
        <v>0</v>
      </c>
      <c r="G15" s="18" t="b">
        <v>0</v>
      </c>
      <c r="H15" s="29" t="b">
        <v>0</v>
      </c>
      <c r="I15" s="21" t="b">
        <v>0</v>
      </c>
      <c r="J15" s="21" t="b">
        <v>0</v>
      </c>
      <c r="K15" s="21" t="b">
        <v>0</v>
      </c>
      <c r="L15" s="22" t="b">
        <v>0</v>
      </c>
      <c r="M15" s="22" t="b">
        <v>0</v>
      </c>
      <c r="N15" s="22" t="b">
        <v>0</v>
      </c>
      <c r="O15" s="22" t="b">
        <v>0</v>
      </c>
      <c r="P15" s="23" t="b">
        <v>0</v>
      </c>
      <c r="Q15" s="23" t="b">
        <v>0</v>
      </c>
      <c r="R15" s="24" t="b">
        <v>0</v>
      </c>
      <c r="S15" s="23" t="b">
        <v>0</v>
      </c>
      <c r="T15" s="23" t="b">
        <v>0</v>
      </c>
      <c r="U15" s="24" t="b">
        <v>0</v>
      </c>
      <c r="V15" s="24" t="b">
        <v>0</v>
      </c>
      <c r="W15" s="25" t="b">
        <v>0</v>
      </c>
      <c r="X15" s="25" t="b">
        <v>0</v>
      </c>
      <c r="Y15" s="26" t="b">
        <v>0</v>
      </c>
      <c r="Z15" s="26" t="b">
        <v>0</v>
      </c>
      <c r="AA15" s="26" t="b">
        <v>0</v>
      </c>
      <c r="AB15" s="26" t="b">
        <v>0</v>
      </c>
      <c r="AC15" s="26" t="b">
        <v>0</v>
      </c>
      <c r="AD15" s="27" t="b">
        <v>0</v>
      </c>
      <c r="AE15" s="27" t="b">
        <v>0</v>
      </c>
      <c r="AF15" s="27" t="b">
        <v>0</v>
      </c>
      <c r="AG15" s="20"/>
      <c r="AH15" s="28">
        <v>31.0</v>
      </c>
      <c r="AI15" s="19" t="str">
        <f>IFERROR(__xludf.DUMMYFUNCTION("SPARKLINE(COUNTIF(B15:AF15,TRUE),{""charttype"",""bar"";""max"",AH17;""color1"",""purple""})"),"")</f>
        <v/>
      </c>
      <c r="AJ15" s="19"/>
    </row>
    <row r="16">
      <c r="A16" s="20" t="s">
        <v>18</v>
      </c>
      <c r="B16" s="18" t="b">
        <v>0</v>
      </c>
      <c r="C16" s="18" t="b">
        <v>0</v>
      </c>
      <c r="D16" s="18" t="b">
        <v>0</v>
      </c>
      <c r="E16" s="18" t="b">
        <v>0</v>
      </c>
      <c r="F16" s="18" t="b">
        <v>0</v>
      </c>
      <c r="G16" s="18" t="b">
        <v>0</v>
      </c>
      <c r="H16" s="29" t="b">
        <v>0</v>
      </c>
      <c r="I16" s="21" t="b">
        <v>0</v>
      </c>
      <c r="J16" s="21" t="b">
        <v>0</v>
      </c>
      <c r="K16" s="21" t="b">
        <v>0</v>
      </c>
      <c r="L16" s="22" t="b">
        <v>0</v>
      </c>
      <c r="M16" s="22" t="b">
        <v>0</v>
      </c>
      <c r="N16" s="22" t="b">
        <v>0</v>
      </c>
      <c r="O16" s="22" t="b">
        <v>0</v>
      </c>
      <c r="P16" s="23" t="b">
        <v>0</v>
      </c>
      <c r="Q16" s="23" t="b">
        <v>0</v>
      </c>
      <c r="R16" s="24" t="b">
        <v>0</v>
      </c>
      <c r="S16" s="23" t="b">
        <v>0</v>
      </c>
      <c r="T16" s="23" t="b">
        <v>0</v>
      </c>
      <c r="U16" s="24" t="b">
        <v>0</v>
      </c>
      <c r="V16" s="24" t="b">
        <v>0</v>
      </c>
      <c r="W16" s="25" t="b">
        <v>0</v>
      </c>
      <c r="X16" s="25" t="b">
        <v>0</v>
      </c>
      <c r="Y16" s="26" t="b">
        <v>0</v>
      </c>
      <c r="Z16" s="26" t="b">
        <v>0</v>
      </c>
      <c r="AA16" s="26" t="b">
        <v>0</v>
      </c>
      <c r="AB16" s="26" t="b">
        <v>0</v>
      </c>
      <c r="AC16" s="26" t="b">
        <v>0</v>
      </c>
      <c r="AD16" s="27" t="b">
        <v>0</v>
      </c>
      <c r="AE16" s="27" t="b">
        <v>0</v>
      </c>
      <c r="AF16" s="27" t="b">
        <v>0</v>
      </c>
      <c r="AG16" s="20"/>
      <c r="AH16" s="28">
        <v>31.0</v>
      </c>
      <c r="AI16" s="19" t="str">
        <f>IFERROR(__xludf.DUMMYFUNCTION("SPARKLINE(COUNTIF(B16:AF16,TRUE),{""charttype"",""bar"";""max"",AH17;""color1"",""purple""})"),"")</f>
        <v/>
      </c>
      <c r="AJ16" s="19"/>
    </row>
    <row r="17">
      <c r="A17" s="20" t="s">
        <v>18</v>
      </c>
      <c r="B17" s="18" t="b">
        <v>0</v>
      </c>
      <c r="C17" s="18" t="b">
        <v>0</v>
      </c>
      <c r="D17" s="29" t="b">
        <v>0</v>
      </c>
      <c r="E17" s="18" t="b">
        <v>0</v>
      </c>
      <c r="F17" s="18" t="b">
        <v>0</v>
      </c>
      <c r="G17" s="18" t="b">
        <v>0</v>
      </c>
      <c r="H17" s="18" t="b">
        <v>0</v>
      </c>
      <c r="I17" s="21" t="b">
        <v>0</v>
      </c>
      <c r="J17" s="22" t="b">
        <v>0</v>
      </c>
      <c r="K17" s="22" t="b">
        <v>0</v>
      </c>
      <c r="L17" s="22" t="b">
        <v>0</v>
      </c>
      <c r="M17" s="22" t="b">
        <v>0</v>
      </c>
      <c r="N17" s="21" t="b">
        <v>0</v>
      </c>
      <c r="O17" s="22" t="b">
        <v>0</v>
      </c>
      <c r="P17" s="23" t="b">
        <v>0</v>
      </c>
      <c r="Q17" s="24" t="b">
        <v>0</v>
      </c>
      <c r="R17" s="24" t="b">
        <v>0</v>
      </c>
      <c r="S17" s="24" t="b">
        <v>0</v>
      </c>
      <c r="T17" s="24" t="b">
        <v>0</v>
      </c>
      <c r="U17" s="24" t="b">
        <v>0</v>
      </c>
      <c r="V17" s="23" t="b">
        <v>0</v>
      </c>
      <c r="W17" s="25" t="b">
        <v>0</v>
      </c>
      <c r="X17" s="25" t="b">
        <v>0</v>
      </c>
      <c r="Y17" s="25" t="b">
        <v>0</v>
      </c>
      <c r="Z17" s="26" t="b">
        <v>0</v>
      </c>
      <c r="AA17" s="26" t="b">
        <v>0</v>
      </c>
      <c r="AB17" s="25" t="b">
        <v>0</v>
      </c>
      <c r="AC17" s="25" t="b">
        <v>0</v>
      </c>
      <c r="AD17" s="30" t="b">
        <v>0</v>
      </c>
      <c r="AE17" s="30" t="b">
        <v>0</v>
      </c>
      <c r="AF17" s="30" t="b">
        <v>0</v>
      </c>
      <c r="AG17" s="19"/>
      <c r="AH17" s="28">
        <v>31.0</v>
      </c>
      <c r="AI17" s="19" t="str">
        <f>IFERROR(__xludf.DUMMYFUNCTION("SPARKLINE(COUNTIF(B17:AF17,TRUE),{""charttype"",""bar"";""max"",AH17;""color1"",""purple""})"),"")</f>
        <v/>
      </c>
      <c r="AJ17" s="19"/>
    </row>
    <row r="18">
      <c r="A18" s="20" t="s">
        <v>18</v>
      </c>
      <c r="B18" s="18" t="b">
        <v>0</v>
      </c>
      <c r="C18" s="18" t="b">
        <v>0</v>
      </c>
      <c r="D18" s="18" t="b">
        <v>0</v>
      </c>
      <c r="E18" s="18" t="b">
        <v>0</v>
      </c>
      <c r="F18" s="18" t="b">
        <v>0</v>
      </c>
      <c r="G18" s="18" t="b">
        <v>0</v>
      </c>
      <c r="H18" s="18" t="b">
        <v>0</v>
      </c>
      <c r="I18" s="21" t="b">
        <v>0</v>
      </c>
      <c r="J18" s="21" t="b">
        <v>0</v>
      </c>
      <c r="K18" s="21" t="b">
        <v>0</v>
      </c>
      <c r="L18" s="21" t="b">
        <v>0</v>
      </c>
      <c r="M18" s="21" t="b">
        <v>0</v>
      </c>
      <c r="N18" s="21" t="b">
        <v>0</v>
      </c>
      <c r="O18" s="21" t="b">
        <v>0</v>
      </c>
      <c r="P18" s="30" t="b">
        <v>0</v>
      </c>
      <c r="Q18" s="30" t="b">
        <v>0</v>
      </c>
      <c r="R18" s="30" t="b">
        <v>0</v>
      </c>
      <c r="S18" s="30" t="b">
        <v>0</v>
      </c>
      <c r="T18" s="30" t="b">
        <v>0</v>
      </c>
      <c r="U18" s="30" t="b">
        <v>0</v>
      </c>
      <c r="V18" s="30" t="b">
        <v>0</v>
      </c>
      <c r="W18" s="30" t="b">
        <v>0</v>
      </c>
      <c r="X18" s="30" t="b">
        <v>0</v>
      </c>
      <c r="Y18" s="30" t="b">
        <v>0</v>
      </c>
      <c r="Z18" s="30" t="b">
        <v>0</v>
      </c>
      <c r="AA18" s="30" t="b">
        <v>0</v>
      </c>
      <c r="AB18" s="30" t="b">
        <v>0</v>
      </c>
      <c r="AC18" s="30" t="b">
        <v>0</v>
      </c>
      <c r="AD18" s="30" t="b">
        <v>0</v>
      </c>
      <c r="AE18" s="30" t="b">
        <v>0</v>
      </c>
      <c r="AF18" s="30" t="b">
        <v>0</v>
      </c>
      <c r="AG18" s="19"/>
      <c r="AH18" s="28">
        <v>31.0</v>
      </c>
      <c r="AI18" s="19" t="str">
        <f>IFERROR(__xludf.DUMMYFUNCTION("SPARKLINE(COUNTIF(B18:AF18,TRUE),{""charttype"",""bar"";""max"",AH17;""color1"",""purple""})"),"")</f>
        <v/>
      </c>
      <c r="AJ18" s="19"/>
    </row>
    <row r="19">
      <c r="A19" s="20" t="s">
        <v>18</v>
      </c>
      <c r="B19" s="18" t="b">
        <v>0</v>
      </c>
      <c r="C19" s="18" t="b">
        <v>0</v>
      </c>
      <c r="D19" s="18" t="b">
        <v>0</v>
      </c>
      <c r="E19" s="18" t="b">
        <v>0</v>
      </c>
      <c r="F19" s="18" t="b">
        <v>0</v>
      </c>
      <c r="G19" s="18" t="b">
        <v>0</v>
      </c>
      <c r="H19" s="18" t="b">
        <v>0</v>
      </c>
      <c r="I19" s="21" t="b">
        <v>0</v>
      </c>
      <c r="J19" s="21" t="b">
        <v>0</v>
      </c>
      <c r="K19" s="21" t="b">
        <v>0</v>
      </c>
      <c r="L19" s="21" t="b">
        <v>0</v>
      </c>
      <c r="M19" s="21" t="b">
        <v>0</v>
      </c>
      <c r="N19" s="21" t="b">
        <v>0</v>
      </c>
      <c r="O19" s="21" t="b">
        <v>0</v>
      </c>
      <c r="P19" s="30" t="b">
        <v>0</v>
      </c>
      <c r="Q19" s="30" t="b">
        <v>0</v>
      </c>
      <c r="R19" s="30" t="b">
        <v>0</v>
      </c>
      <c r="S19" s="30" t="b">
        <v>0</v>
      </c>
      <c r="T19" s="30" t="b">
        <v>0</v>
      </c>
      <c r="U19" s="30" t="b">
        <v>0</v>
      </c>
      <c r="V19" s="30" t="b">
        <v>0</v>
      </c>
      <c r="W19" s="30" t="b">
        <v>0</v>
      </c>
      <c r="X19" s="30" t="b">
        <v>0</v>
      </c>
      <c r="Y19" s="30" t="b">
        <v>0</v>
      </c>
      <c r="Z19" s="30" t="b">
        <v>0</v>
      </c>
      <c r="AA19" s="30" t="b">
        <v>0</v>
      </c>
      <c r="AB19" s="30" t="b">
        <v>0</v>
      </c>
      <c r="AC19" s="30" t="b">
        <v>0</v>
      </c>
      <c r="AD19" s="30" t="b">
        <v>0</v>
      </c>
      <c r="AE19" s="30" t="b">
        <v>0</v>
      </c>
      <c r="AF19" s="30" t="b">
        <v>0</v>
      </c>
      <c r="AG19" s="2"/>
      <c r="AH19" s="4" t="s">
        <v>19</v>
      </c>
      <c r="AI19" s="2"/>
      <c r="AJ19" s="2"/>
    </row>
    <row r="20">
      <c r="A20" s="11" t="s">
        <v>20</v>
      </c>
      <c r="B20" s="31">
        <f t="shared" ref="B20:AF20" si="1">COUNTIF(B6:B19,TRUE)</f>
        <v>0</v>
      </c>
      <c r="C20" s="31">
        <f t="shared" si="1"/>
        <v>0</v>
      </c>
      <c r="D20" s="31">
        <f t="shared" si="1"/>
        <v>0</v>
      </c>
      <c r="E20" s="31">
        <f t="shared" si="1"/>
        <v>0</v>
      </c>
      <c r="F20" s="31">
        <f t="shared" si="1"/>
        <v>0</v>
      </c>
      <c r="G20" s="31">
        <f t="shared" si="1"/>
        <v>0</v>
      </c>
      <c r="H20" s="31">
        <f t="shared" si="1"/>
        <v>0</v>
      </c>
      <c r="I20" s="31">
        <f t="shared" si="1"/>
        <v>0</v>
      </c>
      <c r="J20" s="31">
        <f t="shared" si="1"/>
        <v>0</v>
      </c>
      <c r="K20" s="31">
        <f t="shared" si="1"/>
        <v>0</v>
      </c>
      <c r="L20" s="31">
        <f t="shared" si="1"/>
        <v>0</v>
      </c>
      <c r="M20" s="31">
        <f t="shared" si="1"/>
        <v>0</v>
      </c>
      <c r="N20" s="31">
        <f t="shared" si="1"/>
        <v>0</v>
      </c>
      <c r="O20" s="31">
        <f t="shared" si="1"/>
        <v>0</v>
      </c>
      <c r="P20" s="31">
        <f t="shared" si="1"/>
        <v>0</v>
      </c>
      <c r="Q20" s="31">
        <f t="shared" si="1"/>
        <v>0</v>
      </c>
      <c r="R20" s="31">
        <f t="shared" si="1"/>
        <v>0</v>
      </c>
      <c r="S20" s="31">
        <f t="shared" si="1"/>
        <v>0</v>
      </c>
      <c r="T20" s="31">
        <f t="shared" si="1"/>
        <v>0</v>
      </c>
      <c r="U20" s="31">
        <f t="shared" si="1"/>
        <v>0</v>
      </c>
      <c r="V20" s="31">
        <f t="shared" si="1"/>
        <v>0</v>
      </c>
      <c r="W20" s="31">
        <f t="shared" si="1"/>
        <v>0</v>
      </c>
      <c r="X20" s="31">
        <f t="shared" si="1"/>
        <v>0</v>
      </c>
      <c r="Y20" s="31">
        <f t="shared" si="1"/>
        <v>0</v>
      </c>
      <c r="Z20" s="31">
        <f t="shared" si="1"/>
        <v>0</v>
      </c>
      <c r="AA20" s="31">
        <f t="shared" si="1"/>
        <v>0</v>
      </c>
      <c r="AB20" s="31">
        <f t="shared" si="1"/>
        <v>0</v>
      </c>
      <c r="AC20" s="31">
        <f t="shared" si="1"/>
        <v>0</v>
      </c>
      <c r="AD20" s="31">
        <f t="shared" si="1"/>
        <v>0</v>
      </c>
      <c r="AE20" s="31">
        <f t="shared" si="1"/>
        <v>0</v>
      </c>
      <c r="AF20" s="31">
        <f t="shared" si="1"/>
        <v>0</v>
      </c>
      <c r="AG20" s="19"/>
      <c r="AH20" s="19">
        <f t="shared" ref="AH20:AH21" si="3">SUM(B20:AF20)</f>
        <v>0</v>
      </c>
      <c r="AI20" s="19"/>
      <c r="AJ20" s="19"/>
    </row>
    <row r="21">
      <c r="A21" s="11" t="s">
        <v>21</v>
      </c>
      <c r="B21" s="31">
        <f t="shared" ref="B21:AF21" si="2">COUNTIF(B6:B19,FALSE)</f>
        <v>14</v>
      </c>
      <c r="C21" s="31">
        <f t="shared" si="2"/>
        <v>14</v>
      </c>
      <c r="D21" s="31">
        <f t="shared" si="2"/>
        <v>14</v>
      </c>
      <c r="E21" s="31">
        <f t="shared" si="2"/>
        <v>14</v>
      </c>
      <c r="F21" s="31">
        <f t="shared" si="2"/>
        <v>14</v>
      </c>
      <c r="G21" s="31">
        <f t="shared" si="2"/>
        <v>14</v>
      </c>
      <c r="H21" s="31">
        <f t="shared" si="2"/>
        <v>14</v>
      </c>
      <c r="I21" s="31">
        <f t="shared" si="2"/>
        <v>14</v>
      </c>
      <c r="J21" s="31">
        <f t="shared" si="2"/>
        <v>14</v>
      </c>
      <c r="K21" s="31">
        <f t="shared" si="2"/>
        <v>14</v>
      </c>
      <c r="L21" s="31">
        <f t="shared" si="2"/>
        <v>14</v>
      </c>
      <c r="M21" s="31">
        <f t="shared" si="2"/>
        <v>14</v>
      </c>
      <c r="N21" s="31">
        <f t="shared" si="2"/>
        <v>14</v>
      </c>
      <c r="O21" s="31">
        <f t="shared" si="2"/>
        <v>14</v>
      </c>
      <c r="P21" s="31">
        <f t="shared" si="2"/>
        <v>14</v>
      </c>
      <c r="Q21" s="31">
        <f t="shared" si="2"/>
        <v>14</v>
      </c>
      <c r="R21" s="31">
        <f t="shared" si="2"/>
        <v>14</v>
      </c>
      <c r="S21" s="31">
        <f t="shared" si="2"/>
        <v>14</v>
      </c>
      <c r="T21" s="31">
        <f t="shared" si="2"/>
        <v>14</v>
      </c>
      <c r="U21" s="31">
        <f t="shared" si="2"/>
        <v>14</v>
      </c>
      <c r="V21" s="31">
        <f t="shared" si="2"/>
        <v>14</v>
      </c>
      <c r="W21" s="31">
        <f t="shared" si="2"/>
        <v>14</v>
      </c>
      <c r="X21" s="31">
        <f t="shared" si="2"/>
        <v>14</v>
      </c>
      <c r="Y21" s="31">
        <f t="shared" si="2"/>
        <v>14</v>
      </c>
      <c r="Z21" s="31">
        <f t="shared" si="2"/>
        <v>14</v>
      </c>
      <c r="AA21" s="31">
        <f t="shared" si="2"/>
        <v>14</v>
      </c>
      <c r="AB21" s="31">
        <f t="shared" si="2"/>
        <v>14</v>
      </c>
      <c r="AC21" s="31">
        <f t="shared" si="2"/>
        <v>14</v>
      </c>
      <c r="AD21" s="31">
        <f t="shared" si="2"/>
        <v>14</v>
      </c>
      <c r="AE21" s="31">
        <f t="shared" si="2"/>
        <v>14</v>
      </c>
      <c r="AF21" s="31">
        <f t="shared" si="2"/>
        <v>14</v>
      </c>
      <c r="AG21" s="19"/>
      <c r="AH21" s="19">
        <f t="shared" si="3"/>
        <v>434</v>
      </c>
      <c r="AI21" s="19"/>
      <c r="AJ21" s="19"/>
    </row>
    <row r="22">
      <c r="A22" s="11" t="s">
        <v>22</v>
      </c>
      <c r="B22" s="31">
        <f t="shared" ref="B22:B23" si="4">SUM(A20:H20)</f>
        <v>0</v>
      </c>
      <c r="I22" s="31">
        <f t="shared" ref="I22:I23" si="5">SUM(H20:O20)</f>
        <v>0</v>
      </c>
      <c r="P22" s="31">
        <f t="shared" ref="P22:P23" si="6">SUM(O20:V20)</f>
        <v>0</v>
      </c>
      <c r="W22" s="31">
        <f t="shared" ref="W22:W23" si="7">SUM(V20:AC20)</f>
        <v>0</v>
      </c>
      <c r="AD22" s="31">
        <f t="shared" ref="AD22:AD23" si="8">SUM(AC20:AJ20)</f>
        <v>0</v>
      </c>
    </row>
    <row r="23">
      <c r="A23" s="11" t="s">
        <v>23</v>
      </c>
      <c r="B23" s="31">
        <f t="shared" si="4"/>
        <v>98</v>
      </c>
      <c r="I23" s="31">
        <f t="shared" si="5"/>
        <v>112</v>
      </c>
      <c r="P23" s="31">
        <f t="shared" si="6"/>
        <v>112</v>
      </c>
      <c r="W23" s="31">
        <f t="shared" si="7"/>
        <v>112</v>
      </c>
      <c r="AD23" s="31">
        <f t="shared" si="8"/>
        <v>490</v>
      </c>
    </row>
    <row r="24">
      <c r="A24" s="11"/>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2"/>
      <c r="AH24" s="2"/>
      <c r="AJ24" s="2"/>
    </row>
    <row r="2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2"/>
      <c r="AH25" s="2"/>
      <c r="AI25" s="2"/>
      <c r="AJ25" s="2"/>
    </row>
    <row r="26">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row>
    <row r="27">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row>
    <row r="28">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row>
    <row r="29">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row>
    <row r="30">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row>
    <row r="31" ht="20.25" customHeight="1">
      <c r="A31" s="33" t="s">
        <v>24</v>
      </c>
      <c r="B31" s="34">
        <f>B22/(B22+B23)</f>
        <v>0</v>
      </c>
      <c r="I31" s="34">
        <f>I22/(I22+I23)</f>
        <v>0</v>
      </c>
      <c r="P31" s="34">
        <f>P22/(P22+P23)</f>
        <v>0</v>
      </c>
      <c r="W31" s="34">
        <f>W22/(W22+W23)</f>
        <v>0</v>
      </c>
      <c r="AD31" s="34">
        <f>AD22/(AD22+AD23)</f>
        <v>0</v>
      </c>
    </row>
    <row r="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row>
    <row r="35">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row>
    <row r="36">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row>
    <row r="37">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row>
    <row r="38">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row>
    <row r="39">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row>
    <row r="40">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row>
    <row r="41">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row>
    <row r="4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row>
    <row r="43">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row>
    <row r="44">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row>
    <row r="45">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row>
    <row r="46">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row>
    <row r="47">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row>
    <row r="48">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row>
    <row r="49">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row>
    <row r="50">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row>
    <row r="51">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row>
    <row r="5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row>
    <row r="53">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row>
    <row r="54">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row>
    <row r="55">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row>
    <row r="56">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row>
    <row r="57">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row>
    <row r="5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row>
    <row r="59">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row>
    <row r="60">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row>
    <row r="61">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row>
    <row r="6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row>
    <row r="63">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row>
    <row r="64">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row>
    <row r="65">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row>
    <row r="66">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row>
    <row r="67">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row>
    <row r="68">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row>
    <row r="69">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row>
    <row r="70">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row>
    <row r="71">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row>
    <row r="7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row>
    <row r="73">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row>
    <row r="74">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row>
    <row r="75">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row>
    <row r="76">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row>
    <row r="77">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row>
    <row r="78">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row>
    <row r="79">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row>
    <row r="80">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row>
    <row r="81">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row>
    <row r="8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row>
    <row r="83">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row>
    <row r="84">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row>
    <row r="85">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row>
    <row r="86">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row>
    <row r="87">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row>
    <row r="88">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row>
    <row r="89">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row>
    <row r="90">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row>
    <row r="91">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row>
    <row r="9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row>
    <row r="93">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row>
    <row r="94">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row>
    <row r="95">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row>
    <row r="96">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row>
    <row r="97">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row>
    <row r="98">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row>
    <row r="99">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row>
    <row r="100">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row>
    <row r="101">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row>
    <row r="10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row>
    <row r="103">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row>
    <row r="104">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row>
    <row r="105">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row>
    <row r="106">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row>
    <row r="107">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row>
    <row r="108">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row>
    <row r="109">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row>
    <row r="110">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row>
    <row r="111">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row>
    <row r="11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row>
    <row r="113">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row>
    <row r="114">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row>
    <row r="115">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row>
    <row r="116">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row>
    <row r="117">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row>
    <row r="118">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row>
    <row r="119">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row>
    <row r="120">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row>
    <row r="121">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row>
    <row r="12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row>
    <row r="123">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row>
    <row r="124">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row>
    <row r="125">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row>
    <row r="126">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row>
    <row r="127">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row>
    <row r="128">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row>
    <row r="129">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row>
    <row r="130">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row>
    <row r="131">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row>
    <row r="1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row>
    <row r="133">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row>
    <row r="134">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row>
    <row r="135">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row>
    <row r="136">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row>
    <row r="137">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row>
    <row r="138">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row>
    <row r="139">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row>
    <row r="140">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row>
    <row r="141">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row>
    <row r="14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row>
    <row r="143">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row>
    <row r="144">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row>
    <row r="145">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row>
    <row r="146">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row>
    <row r="147">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row>
    <row r="148">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row>
    <row r="149">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row>
    <row r="150">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row>
    <row r="151">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row>
    <row r="15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row>
    <row r="153">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row>
    <row r="154">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row>
    <row r="155">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row>
    <row r="156">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row>
    <row r="157">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row>
    <row r="158">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row>
    <row r="159">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row>
    <row r="160">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row>
    <row r="161">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row>
    <row r="16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row>
    <row r="163">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row>
    <row r="164">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row>
    <row r="165">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row>
    <row r="166">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row>
    <row r="167">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row>
    <row r="168">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row>
    <row r="169">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row>
    <row r="170">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row>
    <row r="171">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row>
    <row r="17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row>
    <row r="173">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row>
    <row r="174">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row>
    <row r="175">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row>
    <row r="176">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row>
    <row r="177">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row>
    <row r="178">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row>
    <row r="179">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row>
    <row r="180">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row>
    <row r="181">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row>
    <row r="18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row>
    <row r="183">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row>
    <row r="184">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row>
    <row r="185">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row>
    <row r="186">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row>
    <row r="187">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row>
    <row r="188">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row>
    <row r="189">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row>
    <row r="190">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row>
    <row r="191">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row>
    <row r="19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row>
    <row r="193">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row>
    <row r="194">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row>
    <row r="195">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row>
    <row r="196">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row>
    <row r="197">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row>
    <row r="198">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row>
    <row r="199">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row>
    <row r="200">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row>
    <row r="201">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row>
    <row r="20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row>
    <row r="203">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row>
    <row r="204">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row>
    <row r="205">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row>
    <row r="206">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row>
    <row r="207">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row>
    <row r="208">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row>
    <row r="209">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row>
    <row r="210">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row>
    <row r="211">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row>
    <row r="21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row>
    <row r="213">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row>
    <row r="214">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row>
    <row r="215">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row>
    <row r="216">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row>
    <row r="217">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row>
    <row r="218">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row>
    <row r="219">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row>
    <row r="220">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row>
    <row r="221">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row>
    <row r="22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row>
    <row r="223">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row>
    <row r="224">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row>
    <row r="225">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row>
    <row r="226">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row>
    <row r="227">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row>
    <row r="228">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row>
    <row r="229">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row>
    <row r="230">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row>
    <row r="231">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row>
    <row r="2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row>
    <row r="233">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row>
    <row r="234">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row>
    <row r="235">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row>
    <row r="236">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row>
    <row r="237">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row>
    <row r="238">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row>
    <row r="239">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row>
    <row r="240">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row>
    <row r="241">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row>
    <row r="24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row>
    <row r="243">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row>
    <row r="244">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row>
    <row r="245">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row>
    <row r="246">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row>
    <row r="247">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row>
    <row r="248">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row>
    <row r="249">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row>
    <row r="250">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row>
    <row r="251">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row>
    <row r="25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row>
    <row r="253">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row>
    <row r="254">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row>
    <row r="255">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row>
    <row r="256">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row>
    <row r="257">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row>
    <row r="258">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row>
    <row r="259">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row>
    <row r="260">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row>
    <row r="261">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row>
    <row r="26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row>
    <row r="263">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row>
    <row r="264">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row>
    <row r="265">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row>
    <row r="266">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row>
    <row r="267">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row>
    <row r="268">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row>
    <row r="269">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row>
    <row r="270">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row>
    <row r="271">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row>
    <row r="27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row>
    <row r="273">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row>
    <row r="274">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row>
    <row r="275">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row>
    <row r="276">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row>
    <row r="277">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row>
    <row r="278">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row>
    <row r="279">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row>
    <row r="280">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row>
    <row r="281">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row>
    <row r="28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row>
    <row r="283">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row>
    <row r="284">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row>
    <row r="285">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row>
    <row r="286">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row>
    <row r="287">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row>
    <row r="288">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row>
    <row r="289">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row>
    <row r="290">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row>
    <row r="291">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row>
    <row r="29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row>
    <row r="293">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row>
    <row r="294">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row>
    <row r="295">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row>
    <row r="296">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row>
    <row r="297">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row>
    <row r="298">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row>
    <row r="299">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row>
    <row r="300">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row>
    <row r="301">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row>
    <row r="30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row>
    <row r="303">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row>
    <row r="304">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row>
    <row r="305">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row>
    <row r="306">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row>
    <row r="307">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row>
    <row r="308">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row>
    <row r="309">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row>
    <row r="310">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row>
    <row r="311">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row>
    <row r="31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row>
    <row r="313">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row>
    <row r="314">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row>
    <row r="315">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row>
    <row r="316">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row>
    <row r="317">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row>
    <row r="318">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row>
    <row r="319">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row>
    <row r="320">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row>
    <row r="321">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row>
    <row r="32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row>
    <row r="323">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row>
    <row r="324">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row>
    <row r="325">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row>
    <row r="326">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row>
    <row r="327">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row>
    <row r="328">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row>
    <row r="329">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row>
    <row r="330">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row>
    <row r="331">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row>
    <row r="3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row>
    <row r="333">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row>
    <row r="334">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row>
    <row r="335">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row>
    <row r="336">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row>
    <row r="337">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row>
    <row r="338">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row>
    <row r="339">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row>
    <row r="340">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row>
    <row r="341">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row>
    <row r="34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row>
    <row r="343">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row>
    <row r="344">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row>
    <row r="345">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row>
    <row r="346">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row>
    <row r="347">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row>
    <row r="348">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row>
    <row r="349">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row>
    <row r="350">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row>
    <row r="351">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row>
    <row r="35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row>
    <row r="353">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row>
    <row r="354">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row>
    <row r="355">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row>
    <row r="356">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row>
    <row r="357">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row>
    <row r="358">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row>
    <row r="359">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row>
    <row r="360">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row>
    <row r="361">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row>
    <row r="36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row>
    <row r="363">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row>
    <row r="364">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row>
    <row r="365">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row>
    <row r="366">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row>
    <row r="367">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row>
    <row r="368">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row>
    <row r="369">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row>
    <row r="370">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row>
    <row r="371">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row>
    <row r="37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row>
    <row r="373">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row>
    <row r="374">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row>
    <row r="375">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row>
    <row r="376">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row>
    <row r="377">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row>
    <row r="378">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row>
    <row r="379">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row>
    <row r="380">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row>
    <row r="381">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row>
    <row r="38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row>
    <row r="383">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row>
    <row r="384">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row>
    <row r="385">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row>
    <row r="386">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row>
    <row r="387">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row>
    <row r="388">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row>
    <row r="389">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row>
    <row r="390">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row>
    <row r="391">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row>
    <row r="39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row>
    <row r="393">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row>
    <row r="394">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row>
    <row r="395">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row>
    <row r="396">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row>
    <row r="397">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row>
    <row r="398">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row>
    <row r="399">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row>
    <row r="400">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row>
    <row r="401">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row>
    <row r="40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row>
    <row r="403">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row>
    <row r="404">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row>
    <row r="405">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row>
    <row r="406">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row>
    <row r="407">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row>
    <row r="408">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row>
    <row r="409">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row>
    <row r="410">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row>
    <row r="411">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row>
    <row r="41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row>
    <row r="413">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row>
    <row r="414">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row>
    <row r="415">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row>
    <row r="416">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row>
    <row r="417">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row>
    <row r="418">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row>
    <row r="419">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row>
    <row r="420">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row>
    <row r="421">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row>
    <row r="42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row>
    <row r="423">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row>
    <row r="424">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row>
    <row r="425">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row>
    <row r="426">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row>
    <row r="427">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row>
    <row r="428">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row>
    <row r="429">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row>
    <row r="430">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row>
    <row r="431">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row>
    <row r="4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row>
    <row r="433">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row>
    <row r="434">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row>
    <row r="435">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row>
    <row r="436">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row>
    <row r="437">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row>
    <row r="438">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row>
    <row r="439">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row>
    <row r="440">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row>
    <row r="441">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row>
    <row r="44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row>
    <row r="443">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row>
    <row r="444">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row>
    <row r="445">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row>
    <row r="446">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row>
    <row r="447">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row>
    <row r="448">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row>
    <row r="449">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row>
    <row r="450">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row>
    <row r="451">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row>
    <row r="45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row>
    <row r="453">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row>
    <row r="454">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row>
    <row r="455">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row>
    <row r="456">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row>
    <row r="457">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row>
    <row r="458">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row>
    <row r="459">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row>
    <row r="460">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row>
    <row r="461">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row>
    <row r="46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row>
    <row r="463">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row>
    <row r="464">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row>
    <row r="465">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row>
    <row r="466">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row>
    <row r="467">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row>
    <row r="468">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row>
    <row r="469">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row>
    <row r="470">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row>
    <row r="471">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row>
    <row r="47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row>
    <row r="473">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row>
    <row r="474">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row>
    <row r="475">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row>
    <row r="476">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row>
    <row r="477">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row>
    <row r="478">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row>
    <row r="479">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row>
    <row r="480">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row>
    <row r="481">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row>
    <row r="48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row>
    <row r="483">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row>
    <row r="484">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row>
    <row r="485">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row>
    <row r="486">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row>
    <row r="487">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row>
    <row r="488">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row>
    <row r="489">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row>
    <row r="490">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row>
    <row r="491">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row>
    <row r="49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row>
    <row r="493">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row>
    <row r="494">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row>
    <row r="495">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row>
    <row r="496">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row>
    <row r="497">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row>
    <row r="498">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row>
    <row r="499">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row>
    <row r="500">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row>
    <row r="501">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row>
    <row r="50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row>
    <row r="503">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row>
    <row r="504">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row>
    <row r="505">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row>
    <row r="506">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row>
    <row r="507">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row>
    <row r="508">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row>
    <row r="509">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row>
    <row r="510">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row>
    <row r="511">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row>
    <row r="51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row>
    <row r="513">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row>
    <row r="514">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row>
    <row r="515">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row>
    <row r="516">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row>
    <row r="517">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row>
    <row r="518">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row>
    <row r="519">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row>
    <row r="520">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row>
    <row r="521">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row>
    <row r="52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row>
    <row r="523">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row>
    <row r="524">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row>
    <row r="525">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row>
    <row r="526">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row>
    <row r="527">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row>
    <row r="528">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row>
    <row r="529">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row>
    <row r="530">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row>
    <row r="531">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row>
    <row r="5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row>
    <row r="533">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row>
    <row r="534">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row>
    <row r="535">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row>
    <row r="536">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row>
    <row r="537">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row>
    <row r="538">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row>
    <row r="539">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row>
    <row r="540">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row>
    <row r="541">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row>
    <row r="54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row>
    <row r="543">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row>
    <row r="544">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row>
    <row r="545">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row>
    <row r="546">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row>
    <row r="547">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row>
    <row r="548">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row>
    <row r="549">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row>
    <row r="550">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row>
    <row r="551">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row>
    <row r="55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row>
    <row r="553">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row>
    <row r="554">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row>
    <row r="555">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row>
    <row r="556">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row>
    <row r="557">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row>
    <row r="558">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row>
    <row r="559">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row>
    <row r="560">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row>
    <row r="561">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row>
    <row r="56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row>
    <row r="563">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row>
    <row r="564">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row>
    <row r="565">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row>
    <row r="566">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row>
    <row r="567">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row>
    <row r="568">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row>
    <row r="569">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row>
    <row r="570">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row>
    <row r="571">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row>
    <row r="57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row>
    <row r="573">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row>
    <row r="574">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row>
    <row r="575">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row>
    <row r="576">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row>
    <row r="577">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row>
    <row r="578">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row>
    <row r="579">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row>
    <row r="580">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row>
    <row r="581">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row>
    <row r="58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row>
    <row r="583">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row>
    <row r="584">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row>
    <row r="585">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row>
    <row r="586">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row>
    <row r="587">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row>
    <row r="588">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row>
    <row r="589">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row>
    <row r="590">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row>
    <row r="591">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row>
    <row r="59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row>
    <row r="593">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row>
    <row r="594">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row>
    <row r="595">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row>
    <row r="596">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row>
    <row r="597">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row>
    <row r="598">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row>
    <row r="599">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row>
    <row r="600">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row>
    <row r="601">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row>
    <row r="60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row>
    <row r="603">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row>
    <row r="604">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row>
    <row r="605">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row>
    <row r="606">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row>
    <row r="607">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row>
    <row r="608">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row>
    <row r="609">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row>
    <row r="610">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row>
    <row r="611">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row>
    <row r="61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row>
    <row r="613">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row>
    <row r="614">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row>
    <row r="615">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row>
    <row r="616">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row>
    <row r="617">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row>
    <row r="618">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row>
    <row r="619">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row>
    <row r="620">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row>
    <row r="621">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row>
    <row r="62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row>
    <row r="623">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row>
    <row r="624">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row>
    <row r="625">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row>
    <row r="626">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row>
    <row r="627">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row>
    <row r="628">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row>
    <row r="629">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row>
    <row r="630">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row>
    <row r="631">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row>
    <row r="6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row>
    <row r="633">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row>
    <row r="634">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row>
    <row r="635">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row>
    <row r="636">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row>
    <row r="637">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row>
    <row r="638">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row>
    <row r="639">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row>
    <row r="640">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row>
    <row r="641">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row>
    <row r="64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row>
    <row r="643">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row>
    <row r="644">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row>
    <row r="645">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row>
    <row r="646">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row>
    <row r="647">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row>
    <row r="648">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row>
    <row r="649">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row>
    <row r="650">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row>
    <row r="651">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row>
    <row r="65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row>
    <row r="653">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row>
    <row r="654">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row>
    <row r="655">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row>
    <row r="656">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row>
    <row r="657">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row>
    <row r="658">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row>
    <row r="659">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row>
    <row r="660">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row>
    <row r="661">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row>
    <row r="66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row>
    <row r="663">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row>
    <row r="664">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row>
    <row r="665">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row>
    <row r="666">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row>
    <row r="667">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row>
    <row r="668">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row>
    <row r="669">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row>
    <row r="670">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row>
    <row r="671">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row>
    <row r="67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row>
    <row r="673">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row>
    <row r="674">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row>
    <row r="675">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row>
    <row r="676">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row>
    <row r="677">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row>
    <row r="678">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row>
    <row r="679">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row>
    <row r="680">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row>
    <row r="681">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row>
    <row r="68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row>
    <row r="683">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row>
    <row r="684">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row>
    <row r="685">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row>
    <row r="686">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row>
    <row r="687">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row>
    <row r="688">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row>
    <row r="689">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row>
    <row r="690">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row>
    <row r="691">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row>
    <row r="69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row>
    <row r="693">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row>
    <row r="694">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row>
    <row r="695">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row>
    <row r="696">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row>
    <row r="697">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row>
    <row r="698">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row>
    <row r="699">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row>
    <row r="700">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row>
    <row r="701">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row>
    <row r="70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row>
    <row r="703">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row>
    <row r="704">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row>
    <row r="705">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row>
    <row r="706">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row>
    <row r="707">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row>
    <row r="708">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row>
    <row r="709">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row>
    <row r="710">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row>
    <row r="711">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row>
    <row r="71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row>
    <row r="713">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row>
    <row r="714">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row>
    <row r="715">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row>
    <row r="716">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row>
    <row r="717">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row>
    <row r="718">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row>
    <row r="719">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row>
    <row r="720">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row>
    <row r="721">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row>
    <row r="72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row>
    <row r="723">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row>
    <row r="724">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row>
    <row r="725">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row>
    <row r="726">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row>
    <row r="727">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row>
    <row r="728">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row>
    <row r="729">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row>
    <row r="730">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row>
    <row r="731">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row>
    <row r="7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row>
    <row r="733">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row>
    <row r="734">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row>
    <row r="735">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row>
    <row r="736">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row>
    <row r="737">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row>
    <row r="738">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row>
    <row r="739">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row>
    <row r="740">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row>
    <row r="741">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row>
    <row r="74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row>
    <row r="743">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row>
    <row r="744">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row>
    <row r="745">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row>
    <row r="746">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row>
    <row r="747">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row>
    <row r="748">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row>
    <row r="749">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row>
    <row r="750">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row>
    <row r="751">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row>
    <row r="75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row>
    <row r="753">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row>
    <row r="754">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row>
    <row r="755">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row>
    <row r="756">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row>
    <row r="757">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row>
    <row r="758">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row>
    <row r="759">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row>
    <row r="760">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row>
    <row r="761">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row>
    <row r="76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row>
    <row r="763">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row>
    <row r="764">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row>
    <row r="765">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row>
    <row r="766">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row>
    <row r="767">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row>
    <row r="768">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row>
    <row r="769">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row>
    <row r="770">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row>
    <row r="771">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row>
    <row r="77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row>
    <row r="773">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row>
    <row r="774">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row>
    <row r="775">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row>
    <row r="776">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row>
    <row r="777">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row>
    <row r="778">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row>
    <row r="779">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row>
    <row r="780">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row>
    <row r="781">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row>
    <row r="78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row>
    <row r="783">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row>
    <row r="784">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row>
    <row r="785">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row>
    <row r="786">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row>
    <row r="787">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row>
    <row r="788">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row>
    <row r="789">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row>
    <row r="790">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row>
    <row r="791">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row>
    <row r="79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row>
    <row r="793">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row>
    <row r="794">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row>
    <row r="795">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row>
    <row r="796">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row>
    <row r="797">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row>
    <row r="798">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row>
    <row r="799">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row>
    <row r="800">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row>
    <row r="801">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row>
    <row r="80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row>
    <row r="803">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row>
    <row r="804">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row>
    <row r="805">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row>
    <row r="806">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row>
    <row r="807">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row>
    <row r="808">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row>
    <row r="809">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row>
    <row r="810">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row>
    <row r="811">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row>
    <row r="81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row>
    <row r="813">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row>
    <row r="814">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row>
    <row r="815">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row>
    <row r="816">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row>
    <row r="817">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row>
    <row r="818">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row>
    <row r="819">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row>
    <row r="820">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row>
    <row r="821">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row>
    <row r="82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row>
    <row r="823">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row>
    <row r="824">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row>
    <row r="825">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row>
    <row r="826">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row>
    <row r="827">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row>
    <row r="828">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row>
    <row r="829">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row>
    <row r="830">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row>
    <row r="831">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row>
    <row r="8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row>
    <row r="833">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row>
    <row r="834">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row>
    <row r="835">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row>
    <row r="836">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row>
    <row r="837">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row>
    <row r="838">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row>
    <row r="839">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row>
    <row r="840">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row>
    <row r="841">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row>
    <row r="84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row>
    <row r="843">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row>
    <row r="844">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row>
    <row r="845">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row>
    <row r="846">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row>
    <row r="847">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row>
    <row r="848">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row>
    <row r="849">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row>
    <row r="850">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row>
    <row r="851">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row>
    <row r="85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row>
    <row r="853">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row>
    <row r="854">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row>
    <row r="855">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row>
    <row r="856">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row>
    <row r="857">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row>
    <row r="858">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row>
    <row r="859">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row>
    <row r="860">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row>
    <row r="861">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row>
    <row r="86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row>
    <row r="863">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row>
    <row r="864">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row>
    <row r="865">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row>
    <row r="866">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row>
    <row r="867">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row>
    <row r="868">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row>
    <row r="869">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row>
    <row r="870">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row>
    <row r="871">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row>
    <row r="87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row>
    <row r="873">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row>
    <row r="874">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row>
    <row r="875">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row>
    <row r="876">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row>
    <row r="877">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row>
    <row r="878">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row>
    <row r="879">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row>
    <row r="880">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row>
    <row r="881">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row>
    <row r="88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row>
    <row r="883">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row>
    <row r="884">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row>
    <row r="885">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row>
    <row r="886">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row>
    <row r="887">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row>
    <row r="888">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row>
    <row r="889">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row>
    <row r="890">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row>
    <row r="891">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row>
    <row r="89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row>
    <row r="893">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row>
    <row r="894">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row>
    <row r="895">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row>
    <row r="896">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row>
    <row r="897">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row>
    <row r="898">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row>
    <row r="899">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row>
    <row r="900">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row>
    <row r="901">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row>
    <row r="90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row>
    <row r="903">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row>
    <row r="904">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row>
    <row r="905">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row>
    <row r="906">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row>
    <row r="907">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row>
    <row r="908">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row>
    <row r="909">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row>
    <row r="910">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row>
    <row r="911">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row>
    <row r="91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row>
    <row r="913">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row>
    <row r="914">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row>
    <row r="915">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row>
    <row r="916">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row>
    <row r="917">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row>
    <row r="918">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row>
    <row r="919">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row>
    <row r="920">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row>
    <row r="921">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row>
    <row r="92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row>
    <row r="923">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row>
    <row r="924">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row>
    <row r="925">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row>
    <row r="926">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row>
    <row r="927">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row>
    <row r="928">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row>
    <row r="929">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row>
    <row r="930">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row>
    <row r="931">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row>
    <row r="9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row>
    <row r="933">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row>
    <row r="934">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row>
    <row r="935">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row>
    <row r="936">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row>
    <row r="937">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row>
    <row r="938">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row>
    <row r="939">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row>
    <row r="940">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row>
    <row r="941">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row>
    <row r="94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row>
    <row r="943">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row>
    <row r="944">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row>
    <row r="945">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row>
    <row r="946">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row>
    <row r="947">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row>
    <row r="948">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row>
    <row r="949">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row>
    <row r="950">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row>
    <row r="951">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row>
    <row r="95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row>
    <row r="953">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row>
    <row r="954">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row>
    <row r="955">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row>
    <row r="956">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row>
    <row r="957">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row>
    <row r="958">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row>
    <row r="959">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row>
    <row r="960">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row>
    <row r="961">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row>
    <row r="96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row>
    <row r="963">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row>
    <row r="964">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row>
    <row r="965">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row>
    <row r="966">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row>
    <row r="967">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row>
    <row r="968">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row>
    <row r="969">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row>
    <row r="970">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row>
    <row r="971">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row>
    <row r="97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row>
    <row r="973">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row>
    <row r="974">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row>
    <row r="975">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row>
    <row r="976">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row>
    <row r="977">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row>
    <row r="978">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row>
    <row r="979">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row>
    <row r="980">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row>
    <row r="981">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row>
    <row r="98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row>
    <row r="983">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row>
    <row r="984">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row>
    <row r="985">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row>
    <row r="986">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row>
    <row r="987">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row>
    <row r="988">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row>
    <row r="989">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row>
    <row r="990">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row>
    <row r="991">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row>
    <row r="99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row>
    <row r="993">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row>
    <row r="994">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row>
    <row r="995">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row>
    <row r="996">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row>
    <row r="997">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row>
    <row r="998">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row>
    <row r="999">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row>
    <row r="1000">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row>
    <row r="1001">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row>
    <row r="100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c r="AF1002" s="32"/>
    </row>
    <row r="1003">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c r="AF1003" s="32"/>
    </row>
  </sheetData>
  <mergeCells count="21">
    <mergeCell ref="W22:AC22"/>
    <mergeCell ref="AD22:AJ22"/>
    <mergeCell ref="W23:AC23"/>
    <mergeCell ref="AD23:AJ23"/>
    <mergeCell ref="A1:AJ1"/>
    <mergeCell ref="B3:H3"/>
    <mergeCell ref="I3:O3"/>
    <mergeCell ref="P3:V3"/>
    <mergeCell ref="W3:AC3"/>
    <mergeCell ref="AD3:AF3"/>
    <mergeCell ref="B22:H22"/>
    <mergeCell ref="P31:V31"/>
    <mergeCell ref="W31:AC31"/>
    <mergeCell ref="AD31:AJ31"/>
    <mergeCell ref="I22:O22"/>
    <mergeCell ref="P22:V22"/>
    <mergeCell ref="B23:H23"/>
    <mergeCell ref="I23:O23"/>
    <mergeCell ref="P23:V23"/>
    <mergeCell ref="B31:H31"/>
    <mergeCell ref="I31:O31"/>
  </mergeCells>
  <drawing r:id="rId2"/>
  <legacyDrawing r:id="rId3"/>
</worksheet>
</file>